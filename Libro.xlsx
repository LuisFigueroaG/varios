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28"/>
  <workbookPr defaultThemeVersion="166925"/>
  <xr:revisionPtr revIDLastSave="0" documentId="8_{9B02E379-DB9A-402A-8769-B4609BBBD37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" i="1" l="1"/>
  <c r="D23" i="1"/>
  <c r="B23" i="1"/>
  <c r="F23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" i="1"/>
  <c r="B6" i="1"/>
  <c r="B5" i="1"/>
</calcChain>
</file>

<file path=xl/sharedStrings.xml><?xml version="1.0" encoding="utf-8"?>
<sst xmlns="http://schemas.openxmlformats.org/spreadsheetml/2006/main" count="35" uniqueCount="21">
  <si>
    <t>DETALLE</t>
  </si>
  <si>
    <t>PRECIO</t>
  </si>
  <si>
    <t>DESCUENTO 40%</t>
  </si>
  <si>
    <t>PROPINA</t>
  </si>
  <si>
    <t>PRECIO SIN PROPINA</t>
  </si>
  <si>
    <t>PRECIO CON PROPINA</t>
  </si>
  <si>
    <t>CONSUMIDOR</t>
  </si>
  <si>
    <t>DOLBEK MAQUI</t>
  </si>
  <si>
    <t>MOJITO JAGER INFARTO</t>
  </si>
  <si>
    <t>MONSTER MOJITO INFARTO</t>
  </si>
  <si>
    <t>LUCHO</t>
  </si>
  <si>
    <t>MOJITO INFARTO</t>
  </si>
  <si>
    <t>NATY</t>
  </si>
  <si>
    <t>MOJITO</t>
  </si>
  <si>
    <t>BARRICA TOSTADA INFARTO</t>
  </si>
  <si>
    <t>SHOP CALAFATE</t>
  </si>
  <si>
    <t>SHOP HEINEKEN</t>
  </si>
  <si>
    <t>INFARTO CQC</t>
  </si>
  <si>
    <t>PORCAEZA</t>
  </si>
  <si>
    <t>PAPAS XXL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</si>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</sst>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2C4ACD-940E-43EF-BEA0-DEDB832EF3DA}" name="Tabla1" displayName="Tabla1" ref="A1:G21" totalsRowShown="0">
  <autoFilter ref="A1:G21" xr:uid="{EF2C4ACD-940E-43EF-BEA0-DEDB832EF3DA}"/>
  <tableColumns count="7">
    <tableColumn id="1" xr3:uid="{987C0399-B5E8-4E4E-A87A-C577BBD49F5F}" name="DETALLE"/>
    <tableColumn id="2" xr3:uid="{093C9CDA-3F82-4DBD-AABA-067876CC0993}" name="PRECIO"/>
    <tableColumn id="3" xr3:uid="{4FF92D94-A14C-4C59-BE46-E6E15E88DCDF}" name="DESCUENTO 40%">
      <calculatedColumnFormula>0.4*B2</calculatedColumnFormula>
    </tableColumn>
    <tableColumn id="4" xr3:uid="{7008AE65-F4E8-4405-8B54-721244D779FA}" name="PROPINA">
      <calculatedColumnFormula>0.1*B2</calculatedColumnFormula>
    </tableColumn>
    <tableColumn id="5" xr3:uid="{F75234DB-C272-4C95-BFDE-FC37978C103C}" name="PRECIO SIN PROPINA">
      <calculatedColumnFormula>B2-C2</calculatedColumnFormula>
    </tableColumn>
    <tableColumn id="6" xr3:uid="{6A12273A-98E9-44E4-A3C2-0602C18C507A}" name="PRECIO CON PROPINA">
      <calculatedColumnFormula>E2+D2</calculatedColumnFormula>
    </tableColumn>
    <tableColumn id="7" xr3:uid="{239AAC78-6C5B-48F6-ADA9-029AB86B6001}" name="CONSUMIDOR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workbookViewId="0">
      <selection activeCell="B23" sqref="B23:F23"/>
    </sheetView>
  </sheetViews>
  <sheetFormatPr defaultRowHeight="15"/>
  <cols>
    <col min="1" max="1" width="29" customWidth="1"/>
    <col min="2" max="2" width="10" bestFit="1" customWidth="1"/>
    <col min="3" max="3" width="18.7109375" bestFit="1" customWidth="1"/>
    <col min="4" max="4" width="11.7109375" bestFit="1" customWidth="1"/>
    <col min="5" max="5" width="22.42578125" bestFit="1" customWidth="1"/>
    <col min="6" max="6" width="23.42578125" bestFit="1" customWidth="1"/>
    <col min="7" max="7" width="16.4257812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4100</v>
      </c>
      <c r="C2">
        <f>0.4*B2</f>
        <v>1640</v>
      </c>
      <c r="D2">
        <f>0.1*B2</f>
        <v>410</v>
      </c>
      <c r="E2">
        <f>B2-C2</f>
        <v>2460</v>
      </c>
      <c r="F2">
        <f>E2+D2</f>
        <v>2870</v>
      </c>
    </row>
    <row r="3" spans="1:7">
      <c r="A3" t="s">
        <v>7</v>
      </c>
      <c r="B3">
        <v>4100</v>
      </c>
      <c r="C3">
        <f t="shared" ref="C3:C21" si="0">0.4*B3</f>
        <v>1640</v>
      </c>
      <c r="D3">
        <f t="shared" ref="D3:D21" si="1">0.1*B3</f>
        <v>410</v>
      </c>
      <c r="E3">
        <f t="shared" ref="E3:E21" si="2">B3-C3</f>
        <v>2460</v>
      </c>
      <c r="F3">
        <f t="shared" ref="F3:F21" si="3">E3+D3</f>
        <v>2870</v>
      </c>
    </row>
    <row r="4" spans="1:7">
      <c r="A4" t="s">
        <v>8</v>
      </c>
      <c r="B4">
        <v>8900</v>
      </c>
      <c r="C4">
        <f t="shared" si="0"/>
        <v>3560</v>
      </c>
      <c r="D4">
        <f t="shared" si="1"/>
        <v>890</v>
      </c>
      <c r="E4">
        <f t="shared" si="2"/>
        <v>5340</v>
      </c>
      <c r="F4">
        <f t="shared" si="3"/>
        <v>6230</v>
      </c>
    </row>
    <row r="5" spans="1:7">
      <c r="A5" t="s">
        <v>9</v>
      </c>
      <c r="B5">
        <f t="shared" ref="B5:B6" si="4">18800/2</f>
        <v>9400</v>
      </c>
      <c r="C5">
        <f t="shared" si="0"/>
        <v>3760</v>
      </c>
      <c r="D5">
        <f t="shared" si="1"/>
        <v>940</v>
      </c>
      <c r="E5">
        <f t="shared" si="2"/>
        <v>5640</v>
      </c>
      <c r="F5">
        <f t="shared" si="3"/>
        <v>6580</v>
      </c>
      <c r="G5" t="s">
        <v>10</v>
      </c>
    </row>
    <row r="6" spans="1:7">
      <c r="A6" t="s">
        <v>9</v>
      </c>
      <c r="B6">
        <f t="shared" si="4"/>
        <v>9400</v>
      </c>
      <c r="C6">
        <f t="shared" si="0"/>
        <v>3760</v>
      </c>
      <c r="D6">
        <f t="shared" si="1"/>
        <v>940</v>
      </c>
      <c r="E6">
        <f t="shared" si="2"/>
        <v>5640</v>
      </c>
      <c r="F6">
        <f t="shared" si="3"/>
        <v>6580</v>
      </c>
    </row>
    <row r="7" spans="1:7">
      <c r="A7" t="s">
        <v>11</v>
      </c>
      <c r="B7">
        <v>8900</v>
      </c>
      <c r="C7">
        <f t="shared" si="0"/>
        <v>3560</v>
      </c>
      <c r="D7">
        <f t="shared" si="1"/>
        <v>890</v>
      </c>
      <c r="E7">
        <f t="shared" si="2"/>
        <v>5340</v>
      </c>
      <c r="F7">
        <f t="shared" si="3"/>
        <v>6230</v>
      </c>
      <c r="G7" t="s">
        <v>12</v>
      </c>
    </row>
    <row r="8" spans="1:7">
      <c r="A8" t="s">
        <v>11</v>
      </c>
      <c r="B8">
        <v>8900</v>
      </c>
      <c r="C8">
        <f t="shared" si="0"/>
        <v>3560</v>
      </c>
      <c r="D8">
        <f t="shared" si="1"/>
        <v>890</v>
      </c>
      <c r="E8">
        <f t="shared" si="2"/>
        <v>5340</v>
      </c>
      <c r="F8">
        <f t="shared" si="3"/>
        <v>6230</v>
      </c>
    </row>
    <row r="9" spans="1:7">
      <c r="A9" t="s">
        <v>11</v>
      </c>
      <c r="B9">
        <v>8900</v>
      </c>
      <c r="C9">
        <f t="shared" si="0"/>
        <v>3560</v>
      </c>
      <c r="D9">
        <f t="shared" si="1"/>
        <v>890</v>
      </c>
      <c r="E9">
        <f t="shared" si="2"/>
        <v>5340</v>
      </c>
      <c r="F9">
        <f t="shared" si="3"/>
        <v>6230</v>
      </c>
    </row>
    <row r="10" spans="1:7">
      <c r="A10" t="s">
        <v>11</v>
      </c>
      <c r="B10">
        <v>8900</v>
      </c>
      <c r="C10">
        <f t="shared" si="0"/>
        <v>3560</v>
      </c>
      <c r="D10">
        <f t="shared" si="1"/>
        <v>890</v>
      </c>
      <c r="E10">
        <f t="shared" si="2"/>
        <v>5340</v>
      </c>
      <c r="F10">
        <f t="shared" si="3"/>
        <v>6230</v>
      </c>
    </row>
    <row r="11" spans="1:7">
      <c r="A11" t="s">
        <v>8</v>
      </c>
      <c r="B11">
        <v>8900</v>
      </c>
      <c r="C11">
        <f t="shared" si="0"/>
        <v>3560</v>
      </c>
      <c r="D11">
        <f t="shared" si="1"/>
        <v>890</v>
      </c>
      <c r="E11">
        <f t="shared" si="2"/>
        <v>5340</v>
      </c>
      <c r="F11">
        <f t="shared" si="3"/>
        <v>6230</v>
      </c>
    </row>
    <row r="12" spans="1:7">
      <c r="A12" t="s">
        <v>13</v>
      </c>
      <c r="B12">
        <v>6800</v>
      </c>
      <c r="C12">
        <f t="shared" si="0"/>
        <v>2720</v>
      </c>
      <c r="D12">
        <f t="shared" si="1"/>
        <v>680</v>
      </c>
      <c r="E12">
        <f t="shared" si="2"/>
        <v>4080</v>
      </c>
      <c r="F12">
        <f t="shared" si="3"/>
        <v>4760</v>
      </c>
      <c r="G12" t="s">
        <v>12</v>
      </c>
    </row>
    <row r="13" spans="1:7">
      <c r="A13" t="s">
        <v>14</v>
      </c>
      <c r="B13">
        <v>7700</v>
      </c>
      <c r="C13">
        <f t="shared" si="0"/>
        <v>3080</v>
      </c>
      <c r="D13">
        <f t="shared" si="1"/>
        <v>770</v>
      </c>
      <c r="E13">
        <f t="shared" si="2"/>
        <v>4620</v>
      </c>
      <c r="F13">
        <f t="shared" si="3"/>
        <v>5390</v>
      </c>
      <c r="G13" t="s">
        <v>10</v>
      </c>
    </row>
    <row r="14" spans="1:7">
      <c r="A14" t="s">
        <v>14</v>
      </c>
      <c r="B14">
        <v>7700</v>
      </c>
      <c r="C14">
        <f t="shared" si="0"/>
        <v>3080</v>
      </c>
      <c r="D14">
        <f t="shared" si="1"/>
        <v>770</v>
      </c>
      <c r="E14">
        <f t="shared" si="2"/>
        <v>4620</v>
      </c>
      <c r="F14">
        <f t="shared" si="3"/>
        <v>5390</v>
      </c>
    </row>
    <row r="15" spans="1:7">
      <c r="A15" t="s">
        <v>15</v>
      </c>
      <c r="B15">
        <v>4900</v>
      </c>
      <c r="C15">
        <f t="shared" si="0"/>
        <v>1960</v>
      </c>
      <c r="D15">
        <f t="shared" si="1"/>
        <v>490</v>
      </c>
      <c r="E15">
        <f t="shared" si="2"/>
        <v>2940</v>
      </c>
      <c r="F15">
        <f t="shared" si="3"/>
        <v>3430</v>
      </c>
    </row>
    <row r="16" spans="1:7">
      <c r="A16" t="s">
        <v>15</v>
      </c>
      <c r="B16">
        <v>4900</v>
      </c>
      <c r="C16">
        <f t="shared" si="0"/>
        <v>1960</v>
      </c>
      <c r="D16">
        <f t="shared" si="1"/>
        <v>490</v>
      </c>
      <c r="E16">
        <f t="shared" si="2"/>
        <v>2940</v>
      </c>
      <c r="F16">
        <f t="shared" si="3"/>
        <v>3430</v>
      </c>
    </row>
    <row r="17" spans="1:7">
      <c r="A17" t="s">
        <v>16</v>
      </c>
      <c r="B17">
        <v>4600</v>
      </c>
      <c r="C17">
        <f t="shared" si="0"/>
        <v>1840</v>
      </c>
      <c r="D17">
        <f t="shared" si="1"/>
        <v>460</v>
      </c>
      <c r="E17">
        <f t="shared" si="2"/>
        <v>2760</v>
      </c>
      <c r="F17">
        <f t="shared" si="3"/>
        <v>3220</v>
      </c>
    </row>
    <row r="18" spans="1:7">
      <c r="A18" t="s">
        <v>13</v>
      </c>
      <c r="B18">
        <v>6800</v>
      </c>
      <c r="C18">
        <f t="shared" si="0"/>
        <v>2720</v>
      </c>
      <c r="D18">
        <f t="shared" si="1"/>
        <v>680</v>
      </c>
      <c r="E18">
        <f t="shared" si="2"/>
        <v>4080</v>
      </c>
      <c r="F18">
        <f t="shared" si="3"/>
        <v>4760</v>
      </c>
      <c r="G18" t="s">
        <v>12</v>
      </c>
    </row>
    <row r="19" spans="1:7">
      <c r="A19" t="s">
        <v>15</v>
      </c>
      <c r="B19">
        <v>4900</v>
      </c>
      <c r="C19">
        <f t="shared" si="0"/>
        <v>1960</v>
      </c>
      <c r="D19">
        <f t="shared" si="1"/>
        <v>490</v>
      </c>
      <c r="E19">
        <f t="shared" si="2"/>
        <v>2940</v>
      </c>
      <c r="F19">
        <f t="shared" si="3"/>
        <v>3430</v>
      </c>
    </row>
    <row r="20" spans="1:7">
      <c r="A20" t="s">
        <v>17</v>
      </c>
      <c r="B20">
        <v>18300</v>
      </c>
      <c r="C20">
        <f t="shared" si="0"/>
        <v>7320</v>
      </c>
      <c r="D20">
        <f t="shared" si="1"/>
        <v>1830</v>
      </c>
      <c r="E20">
        <f t="shared" si="2"/>
        <v>10980</v>
      </c>
      <c r="F20">
        <f t="shared" si="3"/>
        <v>12810</v>
      </c>
      <c r="G20" t="s">
        <v>18</v>
      </c>
    </row>
    <row r="21" spans="1:7">
      <c r="A21" t="s">
        <v>19</v>
      </c>
      <c r="B21">
        <v>15300</v>
      </c>
      <c r="C21">
        <f t="shared" si="0"/>
        <v>6120</v>
      </c>
      <c r="D21">
        <f t="shared" si="1"/>
        <v>1530</v>
      </c>
      <c r="E21">
        <f t="shared" si="2"/>
        <v>9180</v>
      </c>
      <c r="F21">
        <f t="shared" si="3"/>
        <v>10710</v>
      </c>
      <c r="G21" t="s">
        <v>18</v>
      </c>
    </row>
    <row r="23" spans="1:7">
      <c r="A23" s="2" t="s">
        <v>20</v>
      </c>
      <c r="B23" s="1">
        <f>SUM(Tabla1[PRECIO])</f>
        <v>162300</v>
      </c>
      <c r="C23" s="1"/>
      <c r="D23" s="1">
        <f>SUM(Tabla1[PROPINA])</f>
        <v>16230</v>
      </c>
      <c r="E23" s="1">
        <f>SUM(Tabla1[PRECIO SIN PROPINA])</f>
        <v>97380</v>
      </c>
      <c r="F23" s="1">
        <f>SUM(Tabla1[PRECIO CON PROPINA])</f>
        <v>113610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2023-03-03T18:00:03Z</dcterms:created>
  <dcterms:modified xsi:type="dcterms:W3CDTF">2023-03-03T18:34:59Z</dcterms:modified>
  <cp:category/>
  <cp:contentStatus/>
</cp:coreProperties>
</file>